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ebohorquez/Desktop/"/>
    </mc:Choice>
  </mc:AlternateContent>
  <xr:revisionPtr revIDLastSave="0" documentId="8_{2DFF707E-A439-2842-A35D-0B6E42FFD680}" xr6:coauthVersionLast="47" xr6:coauthVersionMax="47" xr10:uidLastSave="{00000000-0000-0000-0000-000000000000}"/>
  <bookViews>
    <workbookView xWindow="4060" yWindow="1260" windowWidth="27240" windowHeight="16440" xr2:uid="{2A11DAF1-6954-1948-9A84-6E60BCFF46F6}"/>
  </bookViews>
  <sheets>
    <sheet name="IET-oeival (42)" sheetId="1" r:id="rId1"/>
  </sheets>
  <definedNames>
    <definedName name="_xlnm._FilterDatabase" localSheetId="0" hidden="1">'IET-oeival (42)'!$A$1:$R$86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J88" i="1"/>
  <c r="K88" i="1"/>
  <c r="L88" i="1"/>
  <c r="M88" i="1"/>
  <c r="N88" i="1"/>
  <c r="O88" i="1"/>
  <c r="P88" i="1"/>
  <c r="Q88" i="1"/>
  <c r="R88" i="1"/>
  <c r="I88" i="1"/>
</calcChain>
</file>

<file path=xl/sharedStrings.xml><?xml version="1.0" encoding="utf-8"?>
<sst xmlns="http://schemas.openxmlformats.org/spreadsheetml/2006/main" count="605" uniqueCount="196">
  <si>
    <t>Product Type</t>
  </si>
  <si>
    <t>Manufacturer Name</t>
  </si>
  <si>
    <t>Model</t>
  </si>
  <si>
    <t>Item id</t>
  </si>
  <si>
    <t>Manufacturer's Item id</t>
  </si>
  <si>
    <t>Description</t>
  </si>
  <si>
    <t>Stripped Size</t>
  </si>
  <si>
    <t>TL</t>
  </si>
  <si>
    <t>ATTURO</t>
  </si>
  <si>
    <t>TRAIL BLADE ATS</t>
  </si>
  <si>
    <t>ATTSFL5R4LA:</t>
  </si>
  <si>
    <t>TBASFL5R4LA</t>
  </si>
  <si>
    <t>LT275/65R18/E 123S AT TR B ATS</t>
  </si>
  <si>
    <t>TRAIL BLADE BOSS</t>
  </si>
  <si>
    <t>LT37X12.50R17/D 124Q AT T B BO</t>
  </si>
  <si>
    <t>ATTOJ52IDAFA</t>
  </si>
  <si>
    <t>TBBO-J52IDAFA</t>
  </si>
  <si>
    <t>42X15.50R24/D 130Q AT TR B BOS</t>
  </si>
  <si>
    <t>ATTOJ52IDAFA:</t>
  </si>
  <si>
    <t>ATTOJ56G0AFA</t>
  </si>
  <si>
    <t>TBBOJ56G0AFA</t>
  </si>
  <si>
    <t>LT40X14.50R20/D 129Q AT T B BO</t>
  </si>
  <si>
    <t>ATTOJ56G0AFA:</t>
  </si>
  <si>
    <t>ATTOJ56GDAFA</t>
  </si>
  <si>
    <t>TBBOJ56GDAFA</t>
  </si>
  <si>
    <t>40X14.50R24/E 128Q AT TR B BOS</t>
  </si>
  <si>
    <t>ATTOJ5SI0AFA</t>
  </si>
  <si>
    <t>TBBO-J5SI0AFA</t>
  </si>
  <si>
    <t>LT375/55R20/D 128Q AT TR B BOS</t>
  </si>
  <si>
    <t>ATTOJ5SI0AFA:</t>
  </si>
  <si>
    <t>ATTOJ5SK0AFA</t>
  </si>
  <si>
    <t>TBBO-J5SK0AFA</t>
  </si>
  <si>
    <t>LT375/45R20/F 126Q AT TR B BOS</t>
  </si>
  <si>
    <t>ATTOJ5SK0AFA:</t>
  </si>
  <si>
    <t>ATTSJ5QE7ATB</t>
  </si>
  <si>
    <t>TBBSJ5QE7ATB</t>
  </si>
  <si>
    <t>LT275/65R18/E 123Q AT TRA B MT</t>
  </si>
  <si>
    <t>LT285/75R16/E 126Q AT TRA B MT</t>
  </si>
  <si>
    <t>TRAIL BLADE MT</t>
  </si>
  <si>
    <t>TBMT-CREM2MA</t>
  </si>
  <si>
    <t>LT245/75R16/E 120Q AT TRA B MT</t>
  </si>
  <si>
    <t>ATTMTCREM2MA:</t>
  </si>
  <si>
    <t>ATTMTEKFM2MA</t>
  </si>
  <si>
    <t>TBMT-EKFM2MA</t>
  </si>
  <si>
    <t>LT265/70R17/E 121Q AT TRA B MT</t>
  </si>
  <si>
    <t>ATTMTEKFM2MA:</t>
  </si>
  <si>
    <t>ATTMTEREM2MA</t>
  </si>
  <si>
    <t>TBMT-EREM2MA</t>
  </si>
  <si>
    <t>LT265/75R16/E 123Q AT TRA B MT</t>
  </si>
  <si>
    <t>ATTMTEREM2MA:</t>
  </si>
  <si>
    <t>ATTMTFK5M2MA</t>
  </si>
  <si>
    <t>TBMT-FK5M2MA</t>
  </si>
  <si>
    <t>LT275/70R18/E 125Q AT TRA B MT</t>
  </si>
  <si>
    <t>ATTMTFK5M2MA:</t>
  </si>
  <si>
    <t>ATTMTFL5M2MA</t>
  </si>
  <si>
    <t>TBMT-FL5M2MA</t>
  </si>
  <si>
    <t>ATTMTFL5M2MA:</t>
  </si>
  <si>
    <t>ATTMTHEJM2MA</t>
  </si>
  <si>
    <t>TBMT-HEJM2MA</t>
  </si>
  <si>
    <t>LT285/50R20/E 119R AT TRA B MT</t>
  </si>
  <si>
    <t>ATTMTHEJM2MA:</t>
  </si>
  <si>
    <t>ATTMTHREM2MA</t>
  </si>
  <si>
    <t>TBMT-HREM2MA</t>
  </si>
  <si>
    <t>ATTMTHREM2MA:</t>
  </si>
  <si>
    <t>ATTMTLDLM2MA</t>
  </si>
  <si>
    <t>TBMT-LDLM2MA</t>
  </si>
  <si>
    <t>LT33X12.50R22/E 109Q AT T B MT</t>
  </si>
  <si>
    <t>ATTMTLDLM2MA:</t>
  </si>
  <si>
    <t>ATTMTLEJM2MA</t>
  </si>
  <si>
    <t>TBMT-LEJM2MA</t>
  </si>
  <si>
    <t>LT33X12.50R20/E 114Q AT T B MT</t>
  </si>
  <si>
    <t>ATTMTLEJM2MA:</t>
  </si>
  <si>
    <t>ATTMTLELM2MA</t>
  </si>
  <si>
    <t>TBMT-LELM2MA</t>
  </si>
  <si>
    <t>35X12.50R22/E 117Q AT TRA B MT</t>
  </si>
  <si>
    <t>ATTMTLELM2MA:</t>
  </si>
  <si>
    <t>ATTMTLH5M2MA</t>
  </si>
  <si>
    <t>TBMT-LH5M2MA</t>
  </si>
  <si>
    <t>LT33X12.50R18/E 118Q AT T B MT</t>
  </si>
  <si>
    <t>ATTMTLH5M2MA:</t>
  </si>
  <si>
    <t>ATTMTLHJM2MA</t>
  </si>
  <si>
    <t>TBMT-LHJM2MA</t>
  </si>
  <si>
    <t>LT35X12.50R20/E 121Q AT T B MT</t>
  </si>
  <si>
    <t>ATTMTLHJM2MA:</t>
  </si>
  <si>
    <t>ATTMTLK5M2MA</t>
  </si>
  <si>
    <t>TBMT-LK5M2MA</t>
  </si>
  <si>
    <t>LT35X12.50R18/E 123Q AT T B MT</t>
  </si>
  <si>
    <t>ATTMTLK5M2MA:</t>
  </si>
  <si>
    <t>ATTMTLKFM2MA</t>
  </si>
  <si>
    <t>TBMT-LKFM2MA</t>
  </si>
  <si>
    <t>LT35X12.50R17/E 121Q AT T B MT</t>
  </si>
  <si>
    <t>ATTMTLKFM2MA:</t>
  </si>
  <si>
    <t>ATTMTLLFM2MA</t>
  </si>
  <si>
    <t>TBMT-LLFM2MA</t>
  </si>
  <si>
    <t>LT33X12.50R17/D 114Q AT T B MT</t>
  </si>
  <si>
    <t>ATTMTLLFM2MA:</t>
  </si>
  <si>
    <t>ATTMTPFLM2MA</t>
  </si>
  <si>
    <t>TBMT-PFLM2MA</t>
  </si>
  <si>
    <t>37X13.50R22/E 123Q AT TRA B MT</t>
  </si>
  <si>
    <t>ATTMTPFLM2MA:</t>
  </si>
  <si>
    <t>ATTMTPK5M2MA</t>
  </si>
  <si>
    <t>TBMT-PK5M2MA</t>
  </si>
  <si>
    <t>37X13.50R18/E 128Q AT TRA B MT</t>
  </si>
  <si>
    <t>ATTMTPK5M2MA:</t>
  </si>
  <si>
    <t>ATTMTPLJM2MA</t>
  </si>
  <si>
    <t>TBMT-PLJM2MA</t>
  </si>
  <si>
    <t>LT37X13.50R20/E 127Q AT T B MT</t>
  </si>
  <si>
    <t>ATTMTPLJM2MA:</t>
  </si>
  <si>
    <t>TRAIL BLADE MTS</t>
  </si>
  <si>
    <t>33X13.50R20/F 121Q AT TR B MTS</t>
  </si>
  <si>
    <t>ATTSL73C0AFE</t>
  </si>
  <si>
    <t>TBMS-L73C0AFE</t>
  </si>
  <si>
    <t>ATTSL73C0AFE:</t>
  </si>
  <si>
    <t>ATTSL73CBAFE</t>
  </si>
  <si>
    <t>TBMS-L73CBAFE</t>
  </si>
  <si>
    <t>33X13.50R22/E 114Q AT TR B MTS</t>
  </si>
  <si>
    <t>ATTSL73CBAFE:</t>
  </si>
  <si>
    <t>ATTSL73CDAFE</t>
  </si>
  <si>
    <t>TBMS-L73CDAFE</t>
  </si>
  <si>
    <t>33X13.50R24/E 107Q AT TR B MTS</t>
  </si>
  <si>
    <t>ATTSL73CDAFE:</t>
  </si>
  <si>
    <t>ATTSL73DBAFA</t>
  </si>
  <si>
    <t>TBMS-L73DBAFA</t>
  </si>
  <si>
    <t>35X13.50R22/F 123Q AT TR B MTS</t>
  </si>
  <si>
    <t>ATTSL73DBAFA:</t>
  </si>
  <si>
    <t>ATTSL73EDAFA</t>
  </si>
  <si>
    <t>TBMS-L73EDAFA</t>
  </si>
  <si>
    <t>37X13.50R24/F 124Q AT TR B MTS</t>
  </si>
  <si>
    <t>ATTSL73EDAFA:</t>
  </si>
  <si>
    <t>ATTSL7QD8AFA</t>
  </si>
  <si>
    <t>TBMS-L7QD8AFA</t>
  </si>
  <si>
    <t>LT35X12.50R18/F 128Q AT T B MT</t>
  </si>
  <si>
    <t>TP</t>
  </si>
  <si>
    <t>ATTSAHFBKPA</t>
  </si>
  <si>
    <t>TBAS-AHFBKPA</t>
  </si>
  <si>
    <t>225/60R17/XL 103H AT TRA B ATS</t>
  </si>
  <si>
    <t>ATTSAHFBKPA:</t>
  </si>
  <si>
    <t>ATTSALFBKPA</t>
  </si>
  <si>
    <t>TBAS-ALFBKPA</t>
  </si>
  <si>
    <t>225/65R17/XL 106H AT TRA B ATS</t>
  </si>
  <si>
    <t>ATTSALFBKPA:</t>
  </si>
  <si>
    <t>ATTMTDFHM2MA</t>
  </si>
  <si>
    <t>TBMT-DFHM2MA</t>
  </si>
  <si>
    <t>255/55R19/XL 111S AT TRAI B MT</t>
  </si>
  <si>
    <t>ATTMTDFHM2MA:</t>
  </si>
  <si>
    <t>TS</t>
  </si>
  <si>
    <t>TRAIL BLADE BOSS SXS</t>
  </si>
  <si>
    <t>ATTOI1NU4ATA</t>
  </si>
  <si>
    <t>SXBO-U1NU4ATA</t>
  </si>
  <si>
    <t>29X11.00R14 75N AT TRA B B SXS</t>
  </si>
  <si>
    <t>ATTOI1NU4ATA:</t>
  </si>
  <si>
    <t>ATTOU1JU4ATA</t>
  </si>
  <si>
    <t>SXBO-U1JU4ATA</t>
  </si>
  <si>
    <t>29X9.00R14/D AT TRAIL B BS SXS</t>
  </si>
  <si>
    <t>ATTOU1JU4ATA:</t>
  </si>
  <si>
    <t>ATTOU1LA4ATA</t>
  </si>
  <si>
    <t>SXBO-U1LA4ATA</t>
  </si>
  <si>
    <t>30X10.00R14/D 74N AT TR B B SX</t>
  </si>
  <si>
    <t>ATTOU1LA4ATA:</t>
  </si>
  <si>
    <t>ATTOU1LA5ATA</t>
  </si>
  <si>
    <t>SXBO-U1LA5ATA</t>
  </si>
  <si>
    <t>30X10.00R15/D 73N AT TR B B SX</t>
  </si>
  <si>
    <t>ATTOU1LA5ATA:</t>
  </si>
  <si>
    <t>ATTOU1LC5ATA</t>
  </si>
  <si>
    <t>SXBO-U1LC5ATA</t>
  </si>
  <si>
    <t>33X10.00R15 80N AT TRA B B SXS</t>
  </si>
  <si>
    <t>ATTOU1LC5ATA:</t>
  </si>
  <si>
    <t>ATTOU1LD5ATA</t>
  </si>
  <si>
    <t>SXBO-U1LD5ATA</t>
  </si>
  <si>
    <t>35X10.00R15 84N AT TRA B B SXS</t>
  </si>
  <si>
    <t>ATTOU1LD5ATA:</t>
  </si>
  <si>
    <t>ATTOU1LT4ATA</t>
  </si>
  <si>
    <t>SXBO-U1LT4ATA</t>
  </si>
  <si>
    <t>28X10.00R14/D AT TRAIL B B SXS</t>
  </si>
  <si>
    <t>ATTOU1LT4ATA:</t>
  </si>
  <si>
    <t>ATTOU1LV5ATA</t>
  </si>
  <si>
    <t>SXBO-U1LV5ATA</t>
  </si>
  <si>
    <t>32X10.00R15/D 78N AT TR B B SX</t>
  </si>
  <si>
    <t>ATTOU1LV5ATA:</t>
  </si>
  <si>
    <t>ATTOU1NA5ATA:</t>
  </si>
  <si>
    <t>ATTOU1NA4ATA</t>
  </si>
  <si>
    <t>SXBO-U1NA4ATA</t>
  </si>
  <si>
    <t>30X11.00R14 77N AT TRA B B SXS</t>
  </si>
  <si>
    <t>ATTOU1NA4ATA:</t>
  </si>
  <si>
    <t>ATTOU1NA5ATA</t>
  </si>
  <si>
    <t>SXBO-U1NA5ATA</t>
  </si>
  <si>
    <t>30X11.00R15/D 75N AT TR B B SX</t>
  </si>
  <si>
    <t>ATTOU1NV5ATA</t>
  </si>
  <si>
    <t>SXBO-U1NV5ATA</t>
  </si>
  <si>
    <t>32X11.00R15/D 79N AT TR B B SX</t>
  </si>
  <si>
    <t>ATTOU1NV5ATA:</t>
  </si>
  <si>
    <t>colon</t>
  </si>
  <si>
    <t>Blank</t>
  </si>
  <si>
    <t>D-Class</t>
  </si>
  <si>
    <t>Total</t>
  </si>
  <si>
    <t>Available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</si>
</sst>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69487-5F22-C44E-B7DF-27BC45BD0B52}">
  <dimension ref="A1:AE88"/>
  <sheetViews>
    <sheetView tabSelected="1" topLeftCell="E1" zoomScale="99" workbookViewId="0">
      <selection activeCell="T21" sqref="T21"/>
    </sheetView>
  </sheetViews>
  <sheetFormatPr baseColWidth="10" defaultRowHeight="16" x14ac:dyDescent="0.2"/>
  <cols>
    <col min="1" max="1" width="18.6640625" bestFit="1" customWidth="1"/>
    <col min="2" max="2" width="12.33203125" bestFit="1" customWidth="1"/>
    <col min="3" max="3" width="22.83203125" bestFit="1" customWidth="1"/>
    <col min="4" max="4" width="20.6640625" bestFit="1" customWidth="1"/>
    <col min="5" max="5" width="34.6640625" bestFit="1" customWidth="1"/>
    <col min="6" max="6" width="34.33203125" bestFit="1" customWidth="1"/>
    <col min="7" max="7" width="14.33203125" bestFit="1" customWidth="1"/>
    <col min="8" max="8" width="14.5" bestFit="1" customWidth="1"/>
    <col min="9" max="18" width="8.6640625" bestFit="1" customWidth="1"/>
    <col min="21" max="21" width="17.33203125" bestFit="1" customWidth="1"/>
    <col min="22" max="22" width="15.5" bestFit="1" customWidth="1"/>
    <col min="23" max="30" width="6.83203125" bestFit="1" customWidth="1"/>
    <col min="31" max="31" width="7.83203125" bestFit="1" customWidth="1"/>
  </cols>
  <sheetData>
    <row r="1" spans="1:31" x14ac:dyDescent="0.2">
      <c r="A1" t="s">
        <v>3</v>
      </c>
      <c r="B1" t="s">
        <v>193</v>
      </c>
      <c r="C1" t="s">
        <v>4</v>
      </c>
      <c r="D1" t="s">
        <v>1</v>
      </c>
      <c r="E1" t="s">
        <v>2</v>
      </c>
      <c r="F1" t="s">
        <v>5</v>
      </c>
      <c r="G1" t="s">
        <v>0</v>
      </c>
      <c r="H1" t="s">
        <v>6</v>
      </c>
      <c r="I1" s="2">
        <v>45292</v>
      </c>
      <c r="J1" s="2">
        <v>45323</v>
      </c>
      <c r="K1" s="2">
        <v>45352</v>
      </c>
      <c r="L1" s="2">
        <v>45383</v>
      </c>
      <c r="M1" s="2">
        <v>45413</v>
      </c>
      <c r="N1" s="2">
        <v>45444</v>
      </c>
      <c r="O1" s="2">
        <v>45474</v>
      </c>
      <c r="P1" s="2">
        <v>45505</v>
      </c>
      <c r="Q1" s="2">
        <v>45536</v>
      </c>
      <c r="R1" s="2">
        <v>45566</v>
      </c>
      <c r="S1" s="1" t="s">
        <v>194</v>
      </c>
      <c r="T1" s="1" t="s">
        <v>195</v>
      </c>
      <c r="AE1">
        <v>45566</v>
      </c>
    </row>
    <row r="2" spans="1:31" x14ac:dyDescent="0.2">
      <c r="A2" t="s">
        <v>41</v>
      </c>
      <c r="B2" t="s">
        <v>191</v>
      </c>
      <c r="C2" t="s">
        <v>39</v>
      </c>
      <c r="D2" t="s">
        <v>8</v>
      </c>
      <c r="E2" t="s">
        <v>38</v>
      </c>
      <c r="F2" t="s">
        <v>40</v>
      </c>
      <c r="G2" t="s">
        <v>7</v>
      </c>
      <c r="H2">
        <v>2457516</v>
      </c>
      <c r="I2">
        <v>-1</v>
      </c>
      <c r="L2">
        <v>2</v>
      </c>
      <c r="M2">
        <v>4</v>
      </c>
      <c r="P2">
        <v>4</v>
      </c>
      <c r="S2">
        <f t="shared" ref="S2:S19" si="0">SUM(I2:R2)</f>
        <v>9</v>
      </c>
      <c r="T2">
        <v>24</v>
      </c>
      <c r="AE2">
        <v>1</v>
      </c>
    </row>
    <row r="3" spans="1:31" x14ac:dyDescent="0.2">
      <c r="A3" t="s">
        <v>141</v>
      </c>
      <c r="B3" t="s">
        <v>192</v>
      </c>
      <c r="C3" t="s">
        <v>142</v>
      </c>
      <c r="D3" t="s">
        <v>8</v>
      </c>
      <c r="E3" t="s">
        <v>38</v>
      </c>
      <c r="F3" t="s">
        <v>143</v>
      </c>
      <c r="G3" t="s">
        <v>132</v>
      </c>
      <c r="H3">
        <v>2555519</v>
      </c>
      <c r="S3">
        <f t="shared" si="0"/>
        <v>0</v>
      </c>
    </row>
    <row r="4" spans="1:31" x14ac:dyDescent="0.2">
      <c r="A4" t="s">
        <v>144</v>
      </c>
      <c r="B4" t="s">
        <v>191</v>
      </c>
      <c r="C4" t="s">
        <v>142</v>
      </c>
      <c r="D4" t="s">
        <v>8</v>
      </c>
      <c r="E4" t="s">
        <v>38</v>
      </c>
      <c r="F4" t="s">
        <v>143</v>
      </c>
      <c r="G4" t="s">
        <v>132</v>
      </c>
      <c r="H4">
        <v>2555519</v>
      </c>
      <c r="R4">
        <v>4</v>
      </c>
      <c r="S4">
        <f t="shared" si="0"/>
        <v>4</v>
      </c>
    </row>
    <row r="5" spans="1:31" x14ac:dyDescent="0.2">
      <c r="A5" t="s">
        <v>42</v>
      </c>
      <c r="B5" t="s">
        <v>192</v>
      </c>
      <c r="C5" t="s">
        <v>43</v>
      </c>
      <c r="D5" t="s">
        <v>8</v>
      </c>
      <c r="E5" t="s">
        <v>38</v>
      </c>
      <c r="F5" t="s">
        <v>44</v>
      </c>
      <c r="G5" t="s">
        <v>7</v>
      </c>
      <c r="H5">
        <v>2657017</v>
      </c>
      <c r="S5">
        <f t="shared" si="0"/>
        <v>0</v>
      </c>
    </row>
    <row r="6" spans="1:31" x14ac:dyDescent="0.2">
      <c r="A6" t="s">
        <v>45</v>
      </c>
      <c r="B6" t="s">
        <v>191</v>
      </c>
      <c r="C6" t="s">
        <v>43</v>
      </c>
      <c r="D6" t="s">
        <v>8</v>
      </c>
      <c r="E6" t="s">
        <v>38</v>
      </c>
      <c r="F6" t="s">
        <v>44</v>
      </c>
      <c r="G6" t="s">
        <v>7</v>
      </c>
      <c r="H6">
        <v>2657017</v>
      </c>
      <c r="I6">
        <v>4</v>
      </c>
      <c r="N6">
        <v>4</v>
      </c>
      <c r="O6">
        <v>2</v>
      </c>
      <c r="P6">
        <v>4</v>
      </c>
      <c r="R6">
        <v>8</v>
      </c>
      <c r="S6">
        <f t="shared" si="0"/>
        <v>22</v>
      </c>
      <c r="T6">
        <v>32</v>
      </c>
    </row>
    <row r="7" spans="1:31" x14ac:dyDescent="0.2">
      <c r="A7" t="s">
        <v>46</v>
      </c>
      <c r="B7" t="s">
        <v>192</v>
      </c>
      <c r="C7" t="s">
        <v>47</v>
      </c>
      <c r="D7" t="s">
        <v>8</v>
      </c>
      <c r="E7" t="s">
        <v>38</v>
      </c>
      <c r="F7" t="s">
        <v>48</v>
      </c>
      <c r="G7" t="s">
        <v>7</v>
      </c>
      <c r="H7">
        <v>2657516</v>
      </c>
      <c r="S7">
        <f t="shared" si="0"/>
        <v>0</v>
      </c>
    </row>
    <row r="8" spans="1:31" x14ac:dyDescent="0.2">
      <c r="A8" t="s">
        <v>49</v>
      </c>
      <c r="B8" t="s">
        <v>191</v>
      </c>
      <c r="C8" t="s">
        <v>47</v>
      </c>
      <c r="D8" t="s">
        <v>8</v>
      </c>
      <c r="E8" t="s">
        <v>38</v>
      </c>
      <c r="F8" t="s">
        <v>48</v>
      </c>
      <c r="G8" t="s">
        <v>7</v>
      </c>
      <c r="H8">
        <v>2657516</v>
      </c>
      <c r="I8">
        <v>4</v>
      </c>
      <c r="N8">
        <v>4</v>
      </c>
      <c r="Q8">
        <v>4</v>
      </c>
      <c r="S8">
        <f t="shared" si="0"/>
        <v>12</v>
      </c>
    </row>
    <row r="9" spans="1:31" x14ac:dyDescent="0.2">
      <c r="A9" t="s">
        <v>50</v>
      </c>
      <c r="B9" t="s">
        <v>192</v>
      </c>
      <c r="C9" t="s">
        <v>51</v>
      </c>
      <c r="D9" t="s">
        <v>8</v>
      </c>
      <c r="E9" t="s">
        <v>38</v>
      </c>
      <c r="F9" t="s">
        <v>52</v>
      </c>
      <c r="G9" t="s">
        <v>7</v>
      </c>
      <c r="H9">
        <v>2757018</v>
      </c>
      <c r="S9">
        <f t="shared" si="0"/>
        <v>0</v>
      </c>
    </row>
    <row r="10" spans="1:31" x14ac:dyDescent="0.2">
      <c r="A10" t="s">
        <v>53</v>
      </c>
      <c r="B10" t="s">
        <v>191</v>
      </c>
      <c r="C10" t="s">
        <v>51</v>
      </c>
      <c r="D10" t="s">
        <v>8</v>
      </c>
      <c r="E10" t="s">
        <v>38</v>
      </c>
      <c r="F10" t="s">
        <v>52</v>
      </c>
      <c r="G10" t="s">
        <v>7</v>
      </c>
      <c r="H10">
        <v>2757018</v>
      </c>
      <c r="Q10">
        <v>8</v>
      </c>
      <c r="R10">
        <v>12</v>
      </c>
      <c r="S10">
        <f t="shared" si="0"/>
        <v>20</v>
      </c>
      <c r="T10">
        <v>20</v>
      </c>
    </row>
    <row r="11" spans="1:31" x14ac:dyDescent="0.2">
      <c r="A11" t="s">
        <v>54</v>
      </c>
      <c r="B11" t="s">
        <v>192</v>
      </c>
      <c r="C11" t="s">
        <v>55</v>
      </c>
      <c r="D11" t="s">
        <v>8</v>
      </c>
      <c r="E11" t="s">
        <v>38</v>
      </c>
      <c r="F11" t="s">
        <v>36</v>
      </c>
      <c r="G11" t="s">
        <v>7</v>
      </c>
      <c r="H11">
        <v>2756518</v>
      </c>
      <c r="S11">
        <f t="shared" si="0"/>
        <v>0</v>
      </c>
      <c r="AE11">
        <v>2</v>
      </c>
    </row>
    <row r="12" spans="1:31" x14ac:dyDescent="0.2">
      <c r="A12" t="s">
        <v>56</v>
      </c>
      <c r="B12" t="s">
        <v>191</v>
      </c>
      <c r="C12" t="s">
        <v>55</v>
      </c>
      <c r="D12" t="s">
        <v>8</v>
      </c>
      <c r="E12" t="s">
        <v>38</v>
      </c>
      <c r="F12" t="s">
        <v>36</v>
      </c>
      <c r="G12" t="s">
        <v>7</v>
      </c>
      <c r="H12">
        <v>2756518</v>
      </c>
      <c r="I12">
        <v>6</v>
      </c>
      <c r="J12">
        <v>15</v>
      </c>
      <c r="K12">
        <v>4</v>
      </c>
      <c r="Q12">
        <v>4</v>
      </c>
      <c r="R12">
        <v>2</v>
      </c>
      <c r="S12">
        <f t="shared" si="0"/>
        <v>31</v>
      </c>
    </row>
    <row r="13" spans="1:31" x14ac:dyDescent="0.2">
      <c r="A13" t="s">
        <v>57</v>
      </c>
      <c r="B13" t="s">
        <v>192</v>
      </c>
      <c r="C13" t="s">
        <v>58</v>
      </c>
      <c r="D13" t="s">
        <v>8</v>
      </c>
      <c r="E13" t="s">
        <v>38</v>
      </c>
      <c r="F13" t="s">
        <v>59</v>
      </c>
      <c r="G13" t="s">
        <v>7</v>
      </c>
      <c r="H13">
        <v>2855020</v>
      </c>
      <c r="S13">
        <f t="shared" si="0"/>
        <v>0</v>
      </c>
    </row>
    <row r="14" spans="1:31" x14ac:dyDescent="0.2">
      <c r="A14" t="s">
        <v>60</v>
      </c>
      <c r="B14" t="s">
        <v>191</v>
      </c>
      <c r="C14" t="s">
        <v>58</v>
      </c>
      <c r="D14" t="s">
        <v>8</v>
      </c>
      <c r="E14" t="s">
        <v>38</v>
      </c>
      <c r="F14" t="s">
        <v>59</v>
      </c>
      <c r="G14" t="s">
        <v>7</v>
      </c>
      <c r="H14">
        <v>2855020</v>
      </c>
      <c r="L14">
        <v>1</v>
      </c>
      <c r="S14">
        <f t="shared" si="0"/>
        <v>1</v>
      </c>
    </row>
    <row r="15" spans="1:31" x14ac:dyDescent="0.2">
      <c r="A15" t="s">
        <v>61</v>
      </c>
      <c r="B15" t="s">
        <v>192</v>
      </c>
      <c r="C15" t="s">
        <v>62</v>
      </c>
      <c r="D15" t="s">
        <v>8</v>
      </c>
      <c r="E15" t="s">
        <v>38</v>
      </c>
      <c r="F15" t="s">
        <v>37</v>
      </c>
      <c r="G15" t="s">
        <v>7</v>
      </c>
      <c r="H15">
        <v>2857516</v>
      </c>
      <c r="I15">
        <v>-2</v>
      </c>
      <c r="J15">
        <v>2</v>
      </c>
      <c r="K15">
        <v>2</v>
      </c>
      <c r="S15">
        <f t="shared" si="0"/>
        <v>2</v>
      </c>
    </row>
    <row r="16" spans="1:31" x14ac:dyDescent="0.2">
      <c r="A16" t="s">
        <v>63</v>
      </c>
      <c r="B16" t="s">
        <v>191</v>
      </c>
      <c r="C16" t="s">
        <v>62</v>
      </c>
      <c r="D16" t="s">
        <v>8</v>
      </c>
      <c r="E16" t="s">
        <v>38</v>
      </c>
      <c r="F16" t="s">
        <v>37</v>
      </c>
      <c r="G16" t="s">
        <v>7</v>
      </c>
      <c r="H16">
        <v>2857516</v>
      </c>
      <c r="I16">
        <v>1</v>
      </c>
      <c r="J16">
        <v>16</v>
      </c>
      <c r="R16">
        <v>6</v>
      </c>
      <c r="S16">
        <f t="shared" si="0"/>
        <v>23</v>
      </c>
    </row>
    <row r="17" spans="1:31" x14ac:dyDescent="0.2">
      <c r="A17" t="s">
        <v>64</v>
      </c>
      <c r="B17" t="s">
        <v>192</v>
      </c>
      <c r="C17" t="s">
        <v>65</v>
      </c>
      <c r="D17" t="s">
        <v>8</v>
      </c>
      <c r="E17" t="s">
        <v>38</v>
      </c>
      <c r="F17" t="s">
        <v>66</v>
      </c>
      <c r="G17" t="s">
        <v>7</v>
      </c>
      <c r="H17">
        <v>33125022</v>
      </c>
      <c r="S17">
        <f t="shared" si="0"/>
        <v>0</v>
      </c>
      <c r="AE17">
        <v>1</v>
      </c>
    </row>
    <row r="18" spans="1:31" x14ac:dyDescent="0.2">
      <c r="A18" t="s">
        <v>67</v>
      </c>
      <c r="B18" t="s">
        <v>191</v>
      </c>
      <c r="C18" t="s">
        <v>65</v>
      </c>
      <c r="D18" t="s">
        <v>8</v>
      </c>
      <c r="E18" t="s">
        <v>38</v>
      </c>
      <c r="F18" t="s">
        <v>66</v>
      </c>
      <c r="G18" t="s">
        <v>7</v>
      </c>
      <c r="H18">
        <v>33125022</v>
      </c>
      <c r="J18">
        <v>4</v>
      </c>
      <c r="Q18">
        <v>8</v>
      </c>
      <c r="R18">
        <v>16</v>
      </c>
      <c r="S18">
        <f t="shared" si="0"/>
        <v>28</v>
      </c>
      <c r="AE18">
        <v>1</v>
      </c>
    </row>
    <row r="19" spans="1:31" x14ac:dyDescent="0.2">
      <c r="A19" t="s">
        <v>68</v>
      </c>
      <c r="B19" t="s">
        <v>192</v>
      </c>
      <c r="C19" t="s">
        <v>69</v>
      </c>
      <c r="D19" t="s">
        <v>8</v>
      </c>
      <c r="E19" t="s">
        <v>38</v>
      </c>
      <c r="F19" t="s">
        <v>70</v>
      </c>
      <c r="G19" t="s">
        <v>7</v>
      </c>
      <c r="H19">
        <v>33125020</v>
      </c>
      <c r="S19">
        <f t="shared" si="0"/>
        <v>0</v>
      </c>
      <c r="AE19">
        <v>1</v>
      </c>
    </row>
    <row r="20" spans="1:31" x14ac:dyDescent="0.2">
      <c r="A20" t="s">
        <v>71</v>
      </c>
      <c r="B20" t="s">
        <v>191</v>
      </c>
      <c r="C20" t="s">
        <v>69</v>
      </c>
      <c r="D20" t="s">
        <v>8</v>
      </c>
      <c r="E20" t="s">
        <v>38</v>
      </c>
      <c r="F20" t="s">
        <v>70</v>
      </c>
      <c r="G20" t="s">
        <v>7</v>
      </c>
      <c r="H20">
        <v>33125020</v>
      </c>
      <c r="I20">
        <v>7</v>
      </c>
      <c r="J20">
        <v>66</v>
      </c>
      <c r="K20">
        <v>85</v>
      </c>
      <c r="L20">
        <v>45</v>
      </c>
      <c r="M20">
        <v>30</v>
      </c>
      <c r="N20">
        <v>23</v>
      </c>
      <c r="O20">
        <v>6</v>
      </c>
      <c r="P20">
        <v>121</v>
      </c>
      <c r="Q20">
        <v>36</v>
      </c>
      <c r="R20">
        <v>15</v>
      </c>
      <c r="S20">
        <f t="shared" ref="S20:S83" si="1">SUM(I20:R20)</f>
        <v>434</v>
      </c>
      <c r="T20">
        <v>24</v>
      </c>
    </row>
    <row r="21" spans="1:31" x14ac:dyDescent="0.2">
      <c r="A21" t="s">
        <v>72</v>
      </c>
      <c r="B21" t="s">
        <v>192</v>
      </c>
      <c r="C21" t="s">
        <v>73</v>
      </c>
      <c r="D21" t="s">
        <v>8</v>
      </c>
      <c r="E21" t="s">
        <v>38</v>
      </c>
      <c r="F21" t="s">
        <v>74</v>
      </c>
      <c r="G21" t="s">
        <v>7</v>
      </c>
      <c r="H21">
        <v>35125022</v>
      </c>
      <c r="S21">
        <f t="shared" si="1"/>
        <v>0</v>
      </c>
    </row>
    <row r="22" spans="1:31" x14ac:dyDescent="0.2">
      <c r="A22" t="s">
        <v>75</v>
      </c>
      <c r="B22" t="s">
        <v>191</v>
      </c>
      <c r="C22" t="s">
        <v>73</v>
      </c>
      <c r="D22" t="s">
        <v>8</v>
      </c>
      <c r="E22" t="s">
        <v>38</v>
      </c>
      <c r="F22" t="s">
        <v>74</v>
      </c>
      <c r="G22" t="s">
        <v>7</v>
      </c>
      <c r="H22">
        <v>35125022</v>
      </c>
      <c r="I22">
        <v>2</v>
      </c>
      <c r="K22">
        <v>1</v>
      </c>
      <c r="L22">
        <v>8</v>
      </c>
      <c r="M22">
        <v>2</v>
      </c>
      <c r="N22">
        <v>14</v>
      </c>
      <c r="P22">
        <v>20</v>
      </c>
      <c r="Q22">
        <v>15</v>
      </c>
      <c r="R22">
        <v>3</v>
      </c>
      <c r="S22">
        <f t="shared" si="1"/>
        <v>65</v>
      </c>
      <c r="AE22">
        <v>2</v>
      </c>
    </row>
    <row r="23" spans="1:31" x14ac:dyDescent="0.2">
      <c r="A23" t="s">
        <v>76</v>
      </c>
      <c r="B23" t="s">
        <v>192</v>
      </c>
      <c r="C23" t="s">
        <v>77</v>
      </c>
      <c r="D23" t="s">
        <v>8</v>
      </c>
      <c r="E23" t="s">
        <v>38</v>
      </c>
      <c r="F23" t="s">
        <v>78</v>
      </c>
      <c r="G23" t="s">
        <v>7</v>
      </c>
      <c r="H23">
        <v>33125018</v>
      </c>
      <c r="S23">
        <f t="shared" si="1"/>
        <v>0</v>
      </c>
    </row>
    <row r="24" spans="1:31" x14ac:dyDescent="0.2">
      <c r="A24" t="s">
        <v>79</v>
      </c>
      <c r="B24" t="s">
        <v>191</v>
      </c>
      <c r="C24" t="s">
        <v>77</v>
      </c>
      <c r="D24" t="s">
        <v>8</v>
      </c>
      <c r="E24" t="s">
        <v>38</v>
      </c>
      <c r="F24" t="s">
        <v>78</v>
      </c>
      <c r="G24" t="s">
        <v>7</v>
      </c>
      <c r="H24">
        <v>33125018</v>
      </c>
      <c r="J24">
        <v>7</v>
      </c>
      <c r="K24">
        <v>6</v>
      </c>
      <c r="L24">
        <v>2</v>
      </c>
      <c r="M24">
        <v>4</v>
      </c>
      <c r="P24">
        <v>1</v>
      </c>
      <c r="R24">
        <v>4</v>
      </c>
      <c r="S24">
        <f t="shared" si="1"/>
        <v>24</v>
      </c>
    </row>
    <row r="25" spans="1:31" x14ac:dyDescent="0.2">
      <c r="A25" t="s">
        <v>80</v>
      </c>
      <c r="B25" t="s">
        <v>192</v>
      </c>
      <c r="C25" t="s">
        <v>81</v>
      </c>
      <c r="D25" t="s">
        <v>8</v>
      </c>
      <c r="E25" t="s">
        <v>38</v>
      </c>
      <c r="F25" t="s">
        <v>82</v>
      </c>
      <c r="G25" t="s">
        <v>7</v>
      </c>
      <c r="H25">
        <v>35125020</v>
      </c>
      <c r="S25">
        <f t="shared" si="1"/>
        <v>0</v>
      </c>
    </row>
    <row r="26" spans="1:31" x14ac:dyDescent="0.2">
      <c r="A26" t="s">
        <v>83</v>
      </c>
      <c r="B26" t="s">
        <v>191</v>
      </c>
      <c r="C26" t="s">
        <v>81</v>
      </c>
      <c r="D26" t="s">
        <v>8</v>
      </c>
      <c r="E26" t="s">
        <v>38</v>
      </c>
      <c r="F26" t="s">
        <v>82</v>
      </c>
      <c r="G26" t="s">
        <v>7</v>
      </c>
      <c r="H26">
        <v>35125020</v>
      </c>
      <c r="I26">
        <v>13</v>
      </c>
      <c r="K26">
        <v>17</v>
      </c>
      <c r="L26">
        <v>9</v>
      </c>
      <c r="M26">
        <v>8</v>
      </c>
      <c r="O26">
        <v>7</v>
      </c>
      <c r="P26">
        <v>6</v>
      </c>
      <c r="Q26">
        <v>23</v>
      </c>
      <c r="R26">
        <v>1</v>
      </c>
      <c r="S26">
        <f t="shared" si="1"/>
        <v>84</v>
      </c>
    </row>
    <row r="27" spans="1:31" x14ac:dyDescent="0.2">
      <c r="A27" t="s">
        <v>84</v>
      </c>
      <c r="B27" t="s">
        <v>192</v>
      </c>
      <c r="C27" t="s">
        <v>85</v>
      </c>
      <c r="D27" t="s">
        <v>8</v>
      </c>
      <c r="E27" t="s">
        <v>38</v>
      </c>
      <c r="F27" t="s">
        <v>86</v>
      </c>
      <c r="G27" t="s">
        <v>7</v>
      </c>
      <c r="H27">
        <v>35125018</v>
      </c>
      <c r="S27">
        <f t="shared" si="1"/>
        <v>0</v>
      </c>
    </row>
    <row r="28" spans="1:31" x14ac:dyDescent="0.2">
      <c r="A28" t="s">
        <v>87</v>
      </c>
      <c r="B28" t="s">
        <v>191</v>
      </c>
      <c r="C28" t="s">
        <v>85</v>
      </c>
      <c r="D28" t="s">
        <v>8</v>
      </c>
      <c r="E28" t="s">
        <v>38</v>
      </c>
      <c r="F28" t="s">
        <v>86</v>
      </c>
      <c r="G28" t="s">
        <v>7</v>
      </c>
      <c r="H28">
        <v>35125018</v>
      </c>
      <c r="O28">
        <v>10</v>
      </c>
      <c r="P28">
        <v>12</v>
      </c>
      <c r="Q28">
        <v>16</v>
      </c>
      <c r="R28">
        <v>8</v>
      </c>
      <c r="S28">
        <f t="shared" si="1"/>
        <v>46</v>
      </c>
    </row>
    <row r="29" spans="1:31" x14ac:dyDescent="0.2">
      <c r="A29" t="s">
        <v>88</v>
      </c>
      <c r="B29" t="s">
        <v>192</v>
      </c>
      <c r="C29" t="s">
        <v>89</v>
      </c>
      <c r="D29" t="s">
        <v>8</v>
      </c>
      <c r="E29" t="s">
        <v>38</v>
      </c>
      <c r="F29" t="s">
        <v>90</v>
      </c>
      <c r="G29" t="s">
        <v>7</v>
      </c>
      <c r="H29">
        <v>35125017</v>
      </c>
      <c r="S29">
        <f t="shared" si="1"/>
        <v>0</v>
      </c>
    </row>
    <row r="30" spans="1:31" x14ac:dyDescent="0.2">
      <c r="A30" t="s">
        <v>91</v>
      </c>
      <c r="B30" t="s">
        <v>191</v>
      </c>
      <c r="C30" t="s">
        <v>89</v>
      </c>
      <c r="D30" t="s">
        <v>8</v>
      </c>
      <c r="E30" t="s">
        <v>38</v>
      </c>
      <c r="F30" t="s">
        <v>90</v>
      </c>
      <c r="G30" t="s">
        <v>7</v>
      </c>
      <c r="H30">
        <v>35125017</v>
      </c>
      <c r="S30">
        <f t="shared" si="1"/>
        <v>0</v>
      </c>
    </row>
    <row r="31" spans="1:31" x14ac:dyDescent="0.2">
      <c r="A31" t="s">
        <v>92</v>
      </c>
      <c r="B31" t="s">
        <v>192</v>
      </c>
      <c r="C31" t="s">
        <v>93</v>
      </c>
      <c r="D31" t="s">
        <v>8</v>
      </c>
      <c r="E31" t="s">
        <v>38</v>
      </c>
      <c r="F31" t="s">
        <v>94</v>
      </c>
      <c r="G31" t="s">
        <v>7</v>
      </c>
      <c r="H31">
        <v>33125017</v>
      </c>
      <c r="S31">
        <f t="shared" si="1"/>
        <v>0</v>
      </c>
    </row>
    <row r="32" spans="1:31" x14ac:dyDescent="0.2">
      <c r="A32" t="s">
        <v>95</v>
      </c>
      <c r="B32" t="s">
        <v>191</v>
      </c>
      <c r="C32" t="s">
        <v>93</v>
      </c>
      <c r="D32" t="s">
        <v>8</v>
      </c>
      <c r="E32" t="s">
        <v>38</v>
      </c>
      <c r="F32" t="s">
        <v>94</v>
      </c>
      <c r="G32" t="s">
        <v>7</v>
      </c>
      <c r="H32">
        <v>33125017</v>
      </c>
      <c r="I32">
        <v>8</v>
      </c>
      <c r="J32">
        <v>8</v>
      </c>
      <c r="O32">
        <v>4</v>
      </c>
      <c r="R32">
        <v>5</v>
      </c>
      <c r="S32">
        <f t="shared" si="1"/>
        <v>25</v>
      </c>
      <c r="AE32">
        <v>4</v>
      </c>
    </row>
    <row r="33" spans="1:31" x14ac:dyDescent="0.2">
      <c r="A33" t="s">
        <v>96</v>
      </c>
      <c r="B33" t="s">
        <v>192</v>
      </c>
      <c r="C33" t="s">
        <v>97</v>
      </c>
      <c r="D33" t="s">
        <v>8</v>
      </c>
      <c r="E33" t="s">
        <v>38</v>
      </c>
      <c r="F33" t="s">
        <v>98</v>
      </c>
      <c r="G33" t="s">
        <v>7</v>
      </c>
      <c r="H33">
        <v>37135022</v>
      </c>
      <c r="S33">
        <f t="shared" si="1"/>
        <v>0</v>
      </c>
    </row>
    <row r="34" spans="1:31" x14ac:dyDescent="0.2">
      <c r="A34" t="s">
        <v>99</v>
      </c>
      <c r="B34" t="s">
        <v>191</v>
      </c>
      <c r="C34" t="s">
        <v>97</v>
      </c>
      <c r="D34" t="s">
        <v>8</v>
      </c>
      <c r="E34" t="s">
        <v>38</v>
      </c>
      <c r="F34" t="s">
        <v>98</v>
      </c>
      <c r="G34" t="s">
        <v>7</v>
      </c>
      <c r="H34">
        <v>37135022</v>
      </c>
      <c r="Q34">
        <v>4</v>
      </c>
      <c r="R34">
        <v>13</v>
      </c>
      <c r="S34">
        <f t="shared" si="1"/>
        <v>17</v>
      </c>
      <c r="AE34">
        <v>2</v>
      </c>
    </row>
    <row r="35" spans="1:31" x14ac:dyDescent="0.2">
      <c r="A35" t="s">
        <v>100</v>
      </c>
      <c r="B35" t="s">
        <v>192</v>
      </c>
      <c r="C35" t="s">
        <v>101</v>
      </c>
      <c r="D35" t="s">
        <v>8</v>
      </c>
      <c r="E35" t="s">
        <v>38</v>
      </c>
      <c r="F35" t="s">
        <v>102</v>
      </c>
      <c r="G35" t="s">
        <v>7</v>
      </c>
      <c r="H35">
        <v>37135018</v>
      </c>
      <c r="S35">
        <f t="shared" si="1"/>
        <v>0</v>
      </c>
    </row>
    <row r="36" spans="1:31" x14ac:dyDescent="0.2">
      <c r="A36" t="s">
        <v>103</v>
      </c>
      <c r="B36" t="s">
        <v>191</v>
      </c>
      <c r="C36" t="s">
        <v>101</v>
      </c>
      <c r="D36" t="s">
        <v>8</v>
      </c>
      <c r="E36" t="s">
        <v>38</v>
      </c>
      <c r="F36" t="s">
        <v>102</v>
      </c>
      <c r="G36" t="s">
        <v>7</v>
      </c>
      <c r="H36">
        <v>37135018</v>
      </c>
      <c r="J36">
        <v>12</v>
      </c>
      <c r="K36">
        <v>33</v>
      </c>
      <c r="L36">
        <v>1</v>
      </c>
      <c r="M36">
        <v>4</v>
      </c>
      <c r="S36">
        <f t="shared" si="1"/>
        <v>50</v>
      </c>
    </row>
    <row r="37" spans="1:31" x14ac:dyDescent="0.2">
      <c r="A37" t="s">
        <v>104</v>
      </c>
      <c r="B37" t="s">
        <v>192</v>
      </c>
      <c r="C37" t="s">
        <v>105</v>
      </c>
      <c r="D37" t="s">
        <v>8</v>
      </c>
      <c r="E37" t="s">
        <v>38</v>
      </c>
      <c r="F37" t="s">
        <v>106</v>
      </c>
      <c r="G37" t="s">
        <v>7</v>
      </c>
      <c r="H37">
        <v>37135020</v>
      </c>
      <c r="S37">
        <f t="shared" si="1"/>
        <v>0</v>
      </c>
    </row>
    <row r="38" spans="1:31" x14ac:dyDescent="0.2">
      <c r="A38" t="s">
        <v>107</v>
      </c>
      <c r="B38" t="s">
        <v>191</v>
      </c>
      <c r="C38" t="s">
        <v>105</v>
      </c>
      <c r="D38" t="s">
        <v>8</v>
      </c>
      <c r="E38" t="s">
        <v>38</v>
      </c>
      <c r="F38" t="s">
        <v>106</v>
      </c>
      <c r="G38" t="s">
        <v>7</v>
      </c>
      <c r="H38">
        <v>37135020</v>
      </c>
      <c r="I38">
        <v>20</v>
      </c>
      <c r="J38">
        <v>1</v>
      </c>
      <c r="R38">
        <v>8</v>
      </c>
      <c r="S38">
        <f t="shared" si="1"/>
        <v>29</v>
      </c>
    </row>
    <row r="39" spans="1:31" x14ac:dyDescent="0.2">
      <c r="A39" t="s">
        <v>147</v>
      </c>
      <c r="B39" t="s">
        <v>192</v>
      </c>
      <c r="C39" t="s">
        <v>148</v>
      </c>
      <c r="D39" t="s">
        <v>8</v>
      </c>
      <c r="E39" t="s">
        <v>146</v>
      </c>
      <c r="F39" t="s">
        <v>149</v>
      </c>
      <c r="G39" t="s">
        <v>145</v>
      </c>
      <c r="H39">
        <v>29110014</v>
      </c>
      <c r="S39">
        <f t="shared" si="1"/>
        <v>0</v>
      </c>
    </row>
    <row r="40" spans="1:31" x14ac:dyDescent="0.2">
      <c r="A40" t="s">
        <v>150</v>
      </c>
      <c r="B40" t="s">
        <v>191</v>
      </c>
      <c r="C40" t="s">
        <v>148</v>
      </c>
      <c r="D40" t="s">
        <v>8</v>
      </c>
      <c r="E40" t="s">
        <v>146</v>
      </c>
      <c r="F40" t="s">
        <v>149</v>
      </c>
      <c r="G40" t="s">
        <v>145</v>
      </c>
      <c r="H40">
        <v>29110014</v>
      </c>
      <c r="S40">
        <f t="shared" si="1"/>
        <v>0</v>
      </c>
    </row>
    <row r="41" spans="1:31" x14ac:dyDescent="0.2">
      <c r="A41" t="s">
        <v>15</v>
      </c>
      <c r="B41" t="s">
        <v>192</v>
      </c>
      <c r="C41" t="s">
        <v>16</v>
      </c>
      <c r="D41" t="s">
        <v>8</v>
      </c>
      <c r="E41" t="s">
        <v>13</v>
      </c>
      <c r="F41" t="s">
        <v>17</v>
      </c>
      <c r="G41" t="s">
        <v>7</v>
      </c>
      <c r="H41">
        <v>42155024</v>
      </c>
      <c r="S41">
        <f t="shared" si="1"/>
        <v>0</v>
      </c>
    </row>
    <row r="42" spans="1:31" x14ac:dyDescent="0.2">
      <c r="A42" t="s">
        <v>18</v>
      </c>
      <c r="B42" t="s">
        <v>191</v>
      </c>
      <c r="C42" t="s">
        <v>16</v>
      </c>
      <c r="D42" t="s">
        <v>8</v>
      </c>
      <c r="E42" t="s">
        <v>13</v>
      </c>
      <c r="F42" t="s">
        <v>17</v>
      </c>
      <c r="G42" t="s">
        <v>7</v>
      </c>
      <c r="H42">
        <v>42155024</v>
      </c>
      <c r="S42">
        <f t="shared" si="1"/>
        <v>0</v>
      </c>
      <c r="AE42">
        <v>2</v>
      </c>
    </row>
    <row r="43" spans="1:31" x14ac:dyDescent="0.2">
      <c r="A43" t="s">
        <v>19</v>
      </c>
      <c r="B43" t="s">
        <v>192</v>
      </c>
      <c r="C43" t="s">
        <v>20</v>
      </c>
      <c r="D43" t="s">
        <v>8</v>
      </c>
      <c r="E43" t="s">
        <v>13</v>
      </c>
      <c r="F43" t="s">
        <v>21</v>
      </c>
      <c r="G43" t="s">
        <v>7</v>
      </c>
      <c r="H43">
        <v>40145020</v>
      </c>
      <c r="S43">
        <f t="shared" si="1"/>
        <v>0</v>
      </c>
    </row>
    <row r="44" spans="1:31" x14ac:dyDescent="0.2">
      <c r="A44" t="s">
        <v>22</v>
      </c>
      <c r="B44" t="s">
        <v>191</v>
      </c>
      <c r="C44" t="s">
        <v>20</v>
      </c>
      <c r="D44" t="s">
        <v>8</v>
      </c>
      <c r="E44" t="s">
        <v>13</v>
      </c>
      <c r="F44" t="s">
        <v>21</v>
      </c>
      <c r="G44" t="s">
        <v>7</v>
      </c>
      <c r="H44">
        <v>40145020</v>
      </c>
      <c r="R44">
        <v>4</v>
      </c>
      <c r="S44">
        <f t="shared" si="1"/>
        <v>4</v>
      </c>
    </row>
    <row r="45" spans="1:31" x14ac:dyDescent="0.2">
      <c r="A45" t="s">
        <v>23</v>
      </c>
      <c r="B45" t="s">
        <v>192</v>
      </c>
      <c r="C45" t="s">
        <v>24</v>
      </c>
      <c r="D45" t="s">
        <v>8</v>
      </c>
      <c r="E45" t="s">
        <v>13</v>
      </c>
      <c r="F45" t="s">
        <v>25</v>
      </c>
      <c r="G45" t="s">
        <v>7</v>
      </c>
      <c r="H45">
        <v>40145024</v>
      </c>
      <c r="S45">
        <f t="shared" si="1"/>
        <v>0</v>
      </c>
    </row>
    <row r="46" spans="1:31" x14ac:dyDescent="0.2">
      <c r="A46" t="s">
        <v>26</v>
      </c>
      <c r="B46" t="s">
        <v>192</v>
      </c>
      <c r="C46" t="s">
        <v>27</v>
      </c>
      <c r="D46" t="s">
        <v>8</v>
      </c>
      <c r="E46" t="s">
        <v>13</v>
      </c>
      <c r="F46" t="s">
        <v>28</v>
      </c>
      <c r="G46" t="s">
        <v>7</v>
      </c>
      <c r="H46">
        <v>3755520</v>
      </c>
      <c r="S46">
        <f t="shared" si="1"/>
        <v>0</v>
      </c>
    </row>
    <row r="47" spans="1:31" x14ac:dyDescent="0.2">
      <c r="A47" t="s">
        <v>29</v>
      </c>
      <c r="B47" t="s">
        <v>191</v>
      </c>
      <c r="C47" t="s">
        <v>27</v>
      </c>
      <c r="D47" t="s">
        <v>8</v>
      </c>
      <c r="E47" t="s">
        <v>13</v>
      </c>
      <c r="F47" t="s">
        <v>28</v>
      </c>
      <c r="G47" t="s">
        <v>7</v>
      </c>
      <c r="H47">
        <v>3755520</v>
      </c>
      <c r="S47">
        <f t="shared" si="1"/>
        <v>0</v>
      </c>
      <c r="AE47">
        <v>1</v>
      </c>
    </row>
    <row r="48" spans="1:31" x14ac:dyDescent="0.2">
      <c r="A48" t="s">
        <v>30</v>
      </c>
      <c r="B48" t="s">
        <v>192</v>
      </c>
      <c r="C48" t="s">
        <v>31</v>
      </c>
      <c r="D48" t="s">
        <v>8</v>
      </c>
      <c r="E48" t="s">
        <v>13</v>
      </c>
      <c r="F48" t="s">
        <v>32</v>
      </c>
      <c r="G48" t="s">
        <v>7</v>
      </c>
      <c r="H48">
        <v>3754520</v>
      </c>
      <c r="S48">
        <f t="shared" si="1"/>
        <v>0</v>
      </c>
    </row>
    <row r="49" spans="1:31" x14ac:dyDescent="0.2">
      <c r="A49" t="s">
        <v>33</v>
      </c>
      <c r="B49" t="s">
        <v>191</v>
      </c>
      <c r="C49" t="s">
        <v>31</v>
      </c>
      <c r="D49" t="s">
        <v>8</v>
      </c>
      <c r="E49" t="s">
        <v>13</v>
      </c>
      <c r="F49" t="s">
        <v>32</v>
      </c>
      <c r="G49" t="s">
        <v>7</v>
      </c>
      <c r="H49">
        <v>3754520</v>
      </c>
      <c r="S49">
        <f t="shared" si="1"/>
        <v>0</v>
      </c>
    </row>
    <row r="50" spans="1:31" x14ac:dyDescent="0.2">
      <c r="A50" t="s">
        <v>151</v>
      </c>
      <c r="B50" t="s">
        <v>192</v>
      </c>
      <c r="C50" t="s">
        <v>152</v>
      </c>
      <c r="D50" t="s">
        <v>8</v>
      </c>
      <c r="E50" t="s">
        <v>146</v>
      </c>
      <c r="F50" t="s">
        <v>153</v>
      </c>
      <c r="G50" t="s">
        <v>145</v>
      </c>
      <c r="H50">
        <v>2990014</v>
      </c>
      <c r="S50">
        <f t="shared" si="1"/>
        <v>0</v>
      </c>
    </row>
    <row r="51" spans="1:31" x14ac:dyDescent="0.2">
      <c r="A51" t="s">
        <v>154</v>
      </c>
      <c r="B51" t="s">
        <v>191</v>
      </c>
      <c r="C51" t="s">
        <v>152</v>
      </c>
      <c r="D51" t="s">
        <v>8</v>
      </c>
      <c r="E51" t="s">
        <v>146</v>
      </c>
      <c r="F51" t="s">
        <v>153</v>
      </c>
      <c r="G51" t="s">
        <v>145</v>
      </c>
      <c r="H51">
        <v>2990014</v>
      </c>
      <c r="R51">
        <v>2</v>
      </c>
      <c r="S51">
        <f t="shared" si="1"/>
        <v>2</v>
      </c>
    </row>
    <row r="52" spans="1:31" x14ac:dyDescent="0.2">
      <c r="A52" t="s">
        <v>155</v>
      </c>
      <c r="B52" t="s">
        <v>192</v>
      </c>
      <c r="C52" t="s">
        <v>156</v>
      </c>
      <c r="D52" t="s">
        <v>8</v>
      </c>
      <c r="E52" t="s">
        <v>146</v>
      </c>
      <c r="F52" t="s">
        <v>157</v>
      </c>
      <c r="G52" t="s">
        <v>145</v>
      </c>
      <c r="H52">
        <v>30100014</v>
      </c>
      <c r="S52">
        <f t="shared" si="1"/>
        <v>0</v>
      </c>
      <c r="AE52">
        <v>5</v>
      </c>
    </row>
    <row r="53" spans="1:31" x14ac:dyDescent="0.2">
      <c r="A53" t="s">
        <v>158</v>
      </c>
      <c r="B53" t="s">
        <v>191</v>
      </c>
      <c r="C53" t="s">
        <v>156</v>
      </c>
      <c r="D53" t="s">
        <v>8</v>
      </c>
      <c r="E53" t="s">
        <v>146</v>
      </c>
      <c r="F53" t="s">
        <v>157</v>
      </c>
      <c r="G53" t="s">
        <v>145</v>
      </c>
      <c r="H53">
        <v>30100014</v>
      </c>
      <c r="N53">
        <v>4</v>
      </c>
      <c r="O53">
        <v>10</v>
      </c>
      <c r="Q53">
        <v>4</v>
      </c>
      <c r="S53">
        <f t="shared" si="1"/>
        <v>18</v>
      </c>
      <c r="AE53">
        <v>2</v>
      </c>
    </row>
    <row r="54" spans="1:31" x14ac:dyDescent="0.2">
      <c r="A54" t="s">
        <v>159</v>
      </c>
      <c r="B54" t="s">
        <v>192</v>
      </c>
      <c r="C54" t="s">
        <v>160</v>
      </c>
      <c r="D54" t="s">
        <v>8</v>
      </c>
      <c r="E54" t="s">
        <v>146</v>
      </c>
      <c r="F54" t="s">
        <v>161</v>
      </c>
      <c r="G54" t="s">
        <v>145</v>
      </c>
      <c r="H54">
        <v>30100015</v>
      </c>
      <c r="S54">
        <f t="shared" si="1"/>
        <v>0</v>
      </c>
    </row>
    <row r="55" spans="1:31" x14ac:dyDescent="0.2">
      <c r="A55" t="s">
        <v>162</v>
      </c>
      <c r="B55" t="s">
        <v>191</v>
      </c>
      <c r="C55" t="s">
        <v>160</v>
      </c>
      <c r="D55" t="s">
        <v>8</v>
      </c>
      <c r="E55" t="s">
        <v>146</v>
      </c>
      <c r="F55" t="s">
        <v>161</v>
      </c>
      <c r="G55" t="s">
        <v>145</v>
      </c>
      <c r="H55">
        <v>30100015</v>
      </c>
      <c r="L55">
        <v>4</v>
      </c>
      <c r="O55">
        <v>2</v>
      </c>
      <c r="S55">
        <f t="shared" si="1"/>
        <v>6</v>
      </c>
    </row>
    <row r="56" spans="1:31" x14ac:dyDescent="0.2">
      <c r="A56" t="s">
        <v>163</v>
      </c>
      <c r="B56" t="s">
        <v>192</v>
      </c>
      <c r="C56" t="s">
        <v>164</v>
      </c>
      <c r="D56" t="s">
        <v>8</v>
      </c>
      <c r="E56" t="s">
        <v>146</v>
      </c>
      <c r="F56" t="s">
        <v>165</v>
      </c>
      <c r="G56" t="s">
        <v>145</v>
      </c>
      <c r="H56">
        <v>33100015</v>
      </c>
      <c r="S56">
        <f t="shared" si="1"/>
        <v>0</v>
      </c>
    </row>
    <row r="57" spans="1:31" x14ac:dyDescent="0.2">
      <c r="A57" t="s">
        <v>166</v>
      </c>
      <c r="B57" t="s">
        <v>191</v>
      </c>
      <c r="C57" t="s">
        <v>164</v>
      </c>
      <c r="D57" t="s">
        <v>8</v>
      </c>
      <c r="E57" t="s">
        <v>146</v>
      </c>
      <c r="F57" t="s">
        <v>165</v>
      </c>
      <c r="G57" t="s">
        <v>145</v>
      </c>
      <c r="H57">
        <v>33100015</v>
      </c>
      <c r="P57">
        <v>4</v>
      </c>
      <c r="S57">
        <f t="shared" si="1"/>
        <v>4</v>
      </c>
      <c r="AE57">
        <v>4</v>
      </c>
    </row>
    <row r="58" spans="1:31" x14ac:dyDescent="0.2">
      <c r="A58" t="s">
        <v>167</v>
      </c>
      <c r="B58" t="s">
        <v>192</v>
      </c>
      <c r="C58" t="s">
        <v>168</v>
      </c>
      <c r="D58" t="s">
        <v>8</v>
      </c>
      <c r="E58" t="s">
        <v>146</v>
      </c>
      <c r="F58" t="s">
        <v>169</v>
      </c>
      <c r="G58" t="s">
        <v>145</v>
      </c>
      <c r="H58">
        <v>35100015</v>
      </c>
      <c r="S58">
        <f t="shared" si="1"/>
        <v>0</v>
      </c>
    </row>
    <row r="59" spans="1:31" x14ac:dyDescent="0.2">
      <c r="A59" t="s">
        <v>170</v>
      </c>
      <c r="B59" t="s">
        <v>191</v>
      </c>
      <c r="C59" t="s">
        <v>168</v>
      </c>
      <c r="D59" t="s">
        <v>8</v>
      </c>
      <c r="E59" t="s">
        <v>146</v>
      </c>
      <c r="F59" t="s">
        <v>169</v>
      </c>
      <c r="G59" t="s">
        <v>145</v>
      </c>
      <c r="H59">
        <v>35100015</v>
      </c>
      <c r="S59">
        <f t="shared" si="1"/>
        <v>0</v>
      </c>
    </row>
    <row r="60" spans="1:31" x14ac:dyDescent="0.2">
      <c r="A60" t="s">
        <v>171</v>
      </c>
      <c r="B60" t="s">
        <v>192</v>
      </c>
      <c r="C60" t="s">
        <v>172</v>
      </c>
      <c r="D60" t="s">
        <v>8</v>
      </c>
      <c r="E60" t="s">
        <v>146</v>
      </c>
      <c r="F60" t="s">
        <v>173</v>
      </c>
      <c r="G60" t="s">
        <v>145</v>
      </c>
      <c r="H60">
        <v>28100014</v>
      </c>
      <c r="S60">
        <f t="shared" si="1"/>
        <v>0</v>
      </c>
      <c r="AE60">
        <v>4</v>
      </c>
    </row>
    <row r="61" spans="1:31" x14ac:dyDescent="0.2">
      <c r="A61" t="s">
        <v>174</v>
      </c>
      <c r="B61" t="s">
        <v>191</v>
      </c>
      <c r="C61" t="s">
        <v>172</v>
      </c>
      <c r="D61" t="s">
        <v>8</v>
      </c>
      <c r="E61" t="s">
        <v>146</v>
      </c>
      <c r="F61" t="s">
        <v>173</v>
      </c>
      <c r="G61" t="s">
        <v>145</v>
      </c>
      <c r="H61">
        <v>28100014</v>
      </c>
      <c r="S61">
        <f t="shared" si="1"/>
        <v>0</v>
      </c>
    </row>
    <row r="62" spans="1:31" x14ac:dyDescent="0.2">
      <c r="A62" t="s">
        <v>175</v>
      </c>
      <c r="B62" t="s">
        <v>192</v>
      </c>
      <c r="C62" t="s">
        <v>176</v>
      </c>
      <c r="D62" t="s">
        <v>8</v>
      </c>
      <c r="E62" t="s">
        <v>146</v>
      </c>
      <c r="F62" t="s">
        <v>177</v>
      </c>
      <c r="G62" t="s">
        <v>145</v>
      </c>
      <c r="H62">
        <v>32100015</v>
      </c>
      <c r="S62">
        <f t="shared" si="1"/>
        <v>0</v>
      </c>
    </row>
    <row r="63" spans="1:31" x14ac:dyDescent="0.2">
      <c r="A63" t="s">
        <v>178</v>
      </c>
      <c r="B63" t="s">
        <v>191</v>
      </c>
      <c r="C63" t="s">
        <v>176</v>
      </c>
      <c r="D63" t="s">
        <v>8</v>
      </c>
      <c r="E63" t="s">
        <v>146</v>
      </c>
      <c r="F63" t="s">
        <v>177</v>
      </c>
      <c r="G63" t="s">
        <v>145</v>
      </c>
      <c r="H63">
        <v>32100015</v>
      </c>
      <c r="L63">
        <v>2</v>
      </c>
      <c r="R63">
        <v>4</v>
      </c>
      <c r="S63">
        <f t="shared" si="1"/>
        <v>6</v>
      </c>
    </row>
    <row r="64" spans="1:31" x14ac:dyDescent="0.2">
      <c r="A64" t="s">
        <v>180</v>
      </c>
      <c r="B64" t="s">
        <v>192</v>
      </c>
      <c r="C64" t="s">
        <v>181</v>
      </c>
      <c r="D64" t="s">
        <v>8</v>
      </c>
      <c r="E64" t="s">
        <v>146</v>
      </c>
      <c r="F64" t="s">
        <v>182</v>
      </c>
      <c r="G64" t="s">
        <v>145</v>
      </c>
      <c r="H64">
        <v>30110014</v>
      </c>
      <c r="S64">
        <f t="shared" si="1"/>
        <v>0</v>
      </c>
    </row>
    <row r="65" spans="1:31" x14ac:dyDescent="0.2">
      <c r="A65" t="s">
        <v>183</v>
      </c>
      <c r="B65" t="s">
        <v>191</v>
      </c>
      <c r="C65" t="s">
        <v>181</v>
      </c>
      <c r="D65" t="s">
        <v>8</v>
      </c>
      <c r="E65" t="s">
        <v>146</v>
      </c>
      <c r="F65" t="s">
        <v>182</v>
      </c>
      <c r="G65" t="s">
        <v>145</v>
      </c>
      <c r="H65">
        <v>30110014</v>
      </c>
      <c r="O65">
        <v>2</v>
      </c>
      <c r="S65">
        <f t="shared" si="1"/>
        <v>2</v>
      </c>
    </row>
    <row r="66" spans="1:31" x14ac:dyDescent="0.2">
      <c r="A66" t="s">
        <v>184</v>
      </c>
      <c r="B66" t="s">
        <v>192</v>
      </c>
      <c r="C66" t="s">
        <v>185</v>
      </c>
      <c r="D66" t="s">
        <v>8</v>
      </c>
      <c r="E66" t="s">
        <v>146</v>
      </c>
      <c r="F66" t="s">
        <v>186</v>
      </c>
      <c r="G66" t="s">
        <v>145</v>
      </c>
      <c r="H66">
        <v>30110015</v>
      </c>
      <c r="S66">
        <f t="shared" si="1"/>
        <v>0</v>
      </c>
    </row>
    <row r="67" spans="1:31" x14ac:dyDescent="0.2">
      <c r="A67" t="s">
        <v>179</v>
      </c>
      <c r="B67" t="s">
        <v>191</v>
      </c>
      <c r="C67" t="s">
        <v>185</v>
      </c>
      <c r="D67" t="s">
        <v>8</v>
      </c>
      <c r="E67" t="s">
        <v>146</v>
      </c>
      <c r="F67" t="s">
        <v>186</v>
      </c>
      <c r="G67" t="s">
        <v>145</v>
      </c>
      <c r="H67">
        <v>30110015</v>
      </c>
      <c r="S67">
        <f t="shared" si="1"/>
        <v>0</v>
      </c>
    </row>
    <row r="68" spans="1:31" x14ac:dyDescent="0.2">
      <c r="A68" t="s">
        <v>187</v>
      </c>
      <c r="B68" t="s">
        <v>192</v>
      </c>
      <c r="C68" t="s">
        <v>188</v>
      </c>
      <c r="D68" t="s">
        <v>8</v>
      </c>
      <c r="E68" t="s">
        <v>146</v>
      </c>
      <c r="F68" t="s">
        <v>189</v>
      </c>
      <c r="G68" t="s">
        <v>145</v>
      </c>
      <c r="H68">
        <v>32110015</v>
      </c>
      <c r="S68">
        <f t="shared" si="1"/>
        <v>0</v>
      </c>
      <c r="AE68">
        <v>1</v>
      </c>
    </row>
    <row r="69" spans="1:31" x14ac:dyDescent="0.2">
      <c r="A69" t="s">
        <v>190</v>
      </c>
      <c r="B69" t="s">
        <v>191</v>
      </c>
      <c r="C69" t="s">
        <v>188</v>
      </c>
      <c r="D69" t="s">
        <v>8</v>
      </c>
      <c r="E69" t="s">
        <v>146</v>
      </c>
      <c r="F69" t="s">
        <v>189</v>
      </c>
      <c r="G69" t="s">
        <v>145</v>
      </c>
      <c r="H69">
        <v>32110015</v>
      </c>
      <c r="L69">
        <v>2</v>
      </c>
      <c r="S69">
        <f t="shared" si="1"/>
        <v>2</v>
      </c>
    </row>
    <row r="70" spans="1:31" x14ac:dyDescent="0.2">
      <c r="A70" t="s">
        <v>133</v>
      </c>
      <c r="B70" t="s">
        <v>192</v>
      </c>
      <c r="C70" t="s">
        <v>134</v>
      </c>
      <c r="D70" t="s">
        <v>8</v>
      </c>
      <c r="E70" t="s">
        <v>9</v>
      </c>
      <c r="F70" t="s">
        <v>135</v>
      </c>
      <c r="G70" t="s">
        <v>132</v>
      </c>
      <c r="H70">
        <v>2256017</v>
      </c>
      <c r="S70">
        <f t="shared" si="1"/>
        <v>0</v>
      </c>
    </row>
    <row r="71" spans="1:31" x14ac:dyDescent="0.2">
      <c r="A71" t="s">
        <v>136</v>
      </c>
      <c r="B71" t="s">
        <v>191</v>
      </c>
      <c r="C71" t="s">
        <v>134</v>
      </c>
      <c r="D71" t="s">
        <v>8</v>
      </c>
      <c r="E71" t="s">
        <v>9</v>
      </c>
      <c r="F71" t="s">
        <v>135</v>
      </c>
      <c r="G71" t="s">
        <v>132</v>
      </c>
      <c r="H71">
        <v>2256017</v>
      </c>
      <c r="O71">
        <v>44</v>
      </c>
      <c r="P71">
        <v>65</v>
      </c>
      <c r="Q71">
        <v>4</v>
      </c>
      <c r="R71">
        <v>16</v>
      </c>
      <c r="S71">
        <f t="shared" si="1"/>
        <v>129</v>
      </c>
    </row>
    <row r="72" spans="1:31" x14ac:dyDescent="0.2">
      <c r="A72" t="s">
        <v>137</v>
      </c>
      <c r="B72" t="s">
        <v>192</v>
      </c>
      <c r="C72" t="s">
        <v>138</v>
      </c>
      <c r="D72" t="s">
        <v>8</v>
      </c>
      <c r="E72" t="s">
        <v>9</v>
      </c>
      <c r="F72" t="s">
        <v>139</v>
      </c>
      <c r="G72" t="s">
        <v>132</v>
      </c>
      <c r="H72">
        <v>2256517</v>
      </c>
      <c r="S72">
        <f t="shared" si="1"/>
        <v>0</v>
      </c>
    </row>
    <row r="73" spans="1:31" x14ac:dyDescent="0.2">
      <c r="A73" t="s">
        <v>140</v>
      </c>
      <c r="B73" t="s">
        <v>191</v>
      </c>
      <c r="C73" t="s">
        <v>138</v>
      </c>
      <c r="D73" t="s">
        <v>8</v>
      </c>
      <c r="E73" t="s">
        <v>9</v>
      </c>
      <c r="F73" t="s">
        <v>139</v>
      </c>
      <c r="G73" t="s">
        <v>132</v>
      </c>
      <c r="H73">
        <v>2256517</v>
      </c>
      <c r="O73">
        <v>12</v>
      </c>
      <c r="P73">
        <v>16</v>
      </c>
      <c r="Q73">
        <v>40</v>
      </c>
      <c r="R73">
        <v>6</v>
      </c>
      <c r="S73">
        <f t="shared" si="1"/>
        <v>74</v>
      </c>
    </row>
    <row r="74" spans="1:31" x14ac:dyDescent="0.2">
      <c r="A74" t="s">
        <v>10</v>
      </c>
      <c r="B74" t="s">
        <v>191</v>
      </c>
      <c r="C74" t="s">
        <v>11</v>
      </c>
      <c r="D74" t="s">
        <v>8</v>
      </c>
      <c r="E74" t="s">
        <v>9</v>
      </c>
      <c r="F74" t="s">
        <v>12</v>
      </c>
      <c r="G74" t="s">
        <v>7</v>
      </c>
      <c r="H74">
        <v>2756518</v>
      </c>
      <c r="S74">
        <f t="shared" si="1"/>
        <v>0</v>
      </c>
    </row>
    <row r="75" spans="1:31" x14ac:dyDescent="0.2">
      <c r="A75" t="s">
        <v>34</v>
      </c>
      <c r="B75" t="s">
        <v>192</v>
      </c>
      <c r="C75" t="s">
        <v>35</v>
      </c>
      <c r="D75" t="s">
        <v>8</v>
      </c>
      <c r="E75" t="s">
        <v>13</v>
      </c>
      <c r="F75" t="s">
        <v>14</v>
      </c>
      <c r="G75" t="s">
        <v>7</v>
      </c>
      <c r="H75">
        <v>37125017</v>
      </c>
      <c r="S75">
        <f t="shared" si="1"/>
        <v>0</v>
      </c>
    </row>
    <row r="76" spans="1:31" x14ac:dyDescent="0.2">
      <c r="A76" t="s">
        <v>110</v>
      </c>
      <c r="B76" t="s">
        <v>192</v>
      </c>
      <c r="C76" t="s">
        <v>111</v>
      </c>
      <c r="D76" t="s">
        <v>8</v>
      </c>
      <c r="E76" t="s">
        <v>108</v>
      </c>
      <c r="F76" t="s">
        <v>109</v>
      </c>
      <c r="G76" t="s">
        <v>7</v>
      </c>
      <c r="H76">
        <v>33135020</v>
      </c>
      <c r="S76">
        <f t="shared" si="1"/>
        <v>0</v>
      </c>
    </row>
    <row r="77" spans="1:31" x14ac:dyDescent="0.2">
      <c r="A77" t="s">
        <v>112</v>
      </c>
      <c r="B77" t="s">
        <v>191</v>
      </c>
      <c r="C77" t="s">
        <v>111</v>
      </c>
      <c r="D77" t="s">
        <v>8</v>
      </c>
      <c r="E77" t="s">
        <v>108</v>
      </c>
      <c r="F77" t="s">
        <v>109</v>
      </c>
      <c r="G77" t="s">
        <v>7</v>
      </c>
      <c r="H77">
        <v>33135020</v>
      </c>
      <c r="S77">
        <f t="shared" si="1"/>
        <v>0</v>
      </c>
    </row>
    <row r="78" spans="1:31" x14ac:dyDescent="0.2">
      <c r="A78" t="s">
        <v>113</v>
      </c>
      <c r="B78" t="s">
        <v>192</v>
      </c>
      <c r="C78" t="s">
        <v>114</v>
      </c>
      <c r="D78" t="s">
        <v>8</v>
      </c>
      <c r="E78" t="s">
        <v>108</v>
      </c>
      <c r="F78" t="s">
        <v>115</v>
      </c>
      <c r="G78" t="s">
        <v>7</v>
      </c>
      <c r="H78">
        <v>33135022</v>
      </c>
      <c r="S78">
        <f t="shared" si="1"/>
        <v>0</v>
      </c>
    </row>
    <row r="79" spans="1:31" x14ac:dyDescent="0.2">
      <c r="A79" t="s">
        <v>116</v>
      </c>
      <c r="B79" t="s">
        <v>191</v>
      </c>
      <c r="C79" t="s">
        <v>114</v>
      </c>
      <c r="D79" t="s">
        <v>8</v>
      </c>
      <c r="E79" t="s">
        <v>108</v>
      </c>
      <c r="F79" t="s">
        <v>115</v>
      </c>
      <c r="G79" t="s">
        <v>7</v>
      </c>
      <c r="H79">
        <v>33135022</v>
      </c>
      <c r="S79">
        <f t="shared" si="1"/>
        <v>0</v>
      </c>
    </row>
    <row r="80" spans="1:31" x14ac:dyDescent="0.2">
      <c r="A80" t="s">
        <v>117</v>
      </c>
      <c r="B80" t="s">
        <v>192</v>
      </c>
      <c r="C80" t="s">
        <v>118</v>
      </c>
      <c r="D80" t="s">
        <v>8</v>
      </c>
      <c r="E80" t="s">
        <v>108</v>
      </c>
      <c r="F80" t="s">
        <v>119</v>
      </c>
      <c r="G80" t="s">
        <v>7</v>
      </c>
      <c r="H80">
        <v>33135024</v>
      </c>
      <c r="S80">
        <f t="shared" si="1"/>
        <v>0</v>
      </c>
    </row>
    <row r="81" spans="1:31" x14ac:dyDescent="0.2">
      <c r="A81" t="s">
        <v>120</v>
      </c>
      <c r="B81" t="s">
        <v>191</v>
      </c>
      <c r="C81" t="s">
        <v>118</v>
      </c>
      <c r="D81" t="s">
        <v>8</v>
      </c>
      <c r="E81" t="s">
        <v>108</v>
      </c>
      <c r="F81" t="s">
        <v>119</v>
      </c>
      <c r="G81" t="s">
        <v>7</v>
      </c>
      <c r="H81">
        <v>33135024</v>
      </c>
      <c r="S81">
        <f t="shared" si="1"/>
        <v>0</v>
      </c>
      <c r="AE81">
        <v>0</v>
      </c>
    </row>
    <row r="82" spans="1:31" x14ac:dyDescent="0.2">
      <c r="A82" t="s">
        <v>121</v>
      </c>
      <c r="B82" t="s">
        <v>192</v>
      </c>
      <c r="C82" t="s">
        <v>122</v>
      </c>
      <c r="D82" t="s">
        <v>8</v>
      </c>
      <c r="E82" t="s">
        <v>108</v>
      </c>
      <c r="F82" t="s">
        <v>123</v>
      </c>
      <c r="G82" t="s">
        <v>7</v>
      </c>
      <c r="H82">
        <v>35135022</v>
      </c>
      <c r="S82">
        <f t="shared" si="1"/>
        <v>0</v>
      </c>
      <c r="AE82">
        <v>1</v>
      </c>
    </row>
    <row r="83" spans="1:31" x14ac:dyDescent="0.2">
      <c r="A83" t="s">
        <v>124</v>
      </c>
      <c r="B83" t="s">
        <v>191</v>
      </c>
      <c r="C83" t="s">
        <v>122</v>
      </c>
      <c r="D83" t="s">
        <v>8</v>
      </c>
      <c r="E83" t="s">
        <v>108</v>
      </c>
      <c r="F83" t="s">
        <v>123</v>
      </c>
      <c r="G83" t="s">
        <v>7</v>
      </c>
      <c r="H83">
        <v>35135022</v>
      </c>
      <c r="O83">
        <v>1</v>
      </c>
      <c r="S83">
        <f t="shared" si="1"/>
        <v>1</v>
      </c>
    </row>
    <row r="84" spans="1:31" x14ac:dyDescent="0.2">
      <c r="A84" t="s">
        <v>125</v>
      </c>
      <c r="B84" t="s">
        <v>192</v>
      </c>
      <c r="C84" t="s">
        <v>126</v>
      </c>
      <c r="D84" t="s">
        <v>8</v>
      </c>
      <c r="E84" t="s">
        <v>108</v>
      </c>
      <c r="F84" t="s">
        <v>127</v>
      </c>
      <c r="G84" t="s">
        <v>7</v>
      </c>
      <c r="H84">
        <v>37135024</v>
      </c>
      <c r="S84">
        <f t="shared" ref="S84:S86" si="2">SUM(I84:R84)</f>
        <v>0</v>
      </c>
      <c r="AE84">
        <v>1</v>
      </c>
    </row>
    <row r="85" spans="1:31" x14ac:dyDescent="0.2">
      <c r="A85" t="s">
        <v>128</v>
      </c>
      <c r="B85" t="s">
        <v>191</v>
      </c>
      <c r="C85" t="s">
        <v>126</v>
      </c>
      <c r="D85" t="s">
        <v>8</v>
      </c>
      <c r="E85" t="s">
        <v>108</v>
      </c>
      <c r="F85" t="s">
        <v>127</v>
      </c>
      <c r="G85" t="s">
        <v>7</v>
      </c>
      <c r="H85">
        <v>37135024</v>
      </c>
      <c r="S85">
        <f t="shared" si="2"/>
        <v>0</v>
      </c>
    </row>
    <row r="86" spans="1:31" x14ac:dyDescent="0.2">
      <c r="A86" t="s">
        <v>129</v>
      </c>
      <c r="B86" t="s">
        <v>192</v>
      </c>
      <c r="C86" t="s">
        <v>130</v>
      </c>
      <c r="D86" t="s">
        <v>8</v>
      </c>
      <c r="E86" t="s">
        <v>108</v>
      </c>
      <c r="F86" t="s">
        <v>131</v>
      </c>
      <c r="G86" t="s">
        <v>7</v>
      </c>
      <c r="H86">
        <v>35125018</v>
      </c>
      <c r="S86">
        <f t="shared" si="2"/>
        <v>0</v>
      </c>
      <c r="AE86">
        <v>1</v>
      </c>
    </row>
    <row r="88" spans="1:31" x14ac:dyDescent="0.2">
      <c r="I88">
        <f>SUBTOTAL(9,I2:I87)</f>
        <v>62</v>
      </c>
      <c r="J88">
        <f>SUBTOTAL(9,J2:J87)</f>
        <v>131</v>
      </c>
      <c r="K88">
        <f>SUBTOTAL(9,K2:K87)</f>
        <v>148</v>
      </c>
      <c r="L88">
        <f>SUBTOTAL(9,L2:L87)</f>
        <v>76</v>
      </c>
      <c r="M88">
        <f>SUBTOTAL(9,M2:M87)</f>
        <v>52</v>
      </c>
      <c r="N88">
        <f>SUBTOTAL(9,N2:N87)</f>
        <v>49</v>
      </c>
      <c r="O88">
        <f>SUBTOTAL(9,O2:O87)</f>
        <v>100</v>
      </c>
      <c r="P88">
        <f>SUBTOTAL(9,P2:P87)</f>
        <v>253</v>
      </c>
      <c r="Q88">
        <f>SUBTOTAL(9,Q2:Q87)</f>
        <v>166</v>
      </c>
      <c r="R88">
        <f>SUBTOTAL(9,R2:R87)</f>
        <v>137</v>
      </c>
    </row>
  </sheetData>
  <autoFilter ref="A1:R86" xr:uid="{30C69487-5F22-C44E-B7DF-27BC45BD0B52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IET-oeival (42)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Bohorquez</dc:creator>
  <cp:lastModifiedBy>George Bohorquez</cp:lastModifiedBy>
  <dcterms:created xsi:type="dcterms:W3CDTF">2024-11-03T18:35:03Z</dcterms:created>
  <dcterms:modified xsi:type="dcterms:W3CDTF">2026-04-06T14:12:01Z</dcterms:modified>
</cp:coreProperties>
</file>